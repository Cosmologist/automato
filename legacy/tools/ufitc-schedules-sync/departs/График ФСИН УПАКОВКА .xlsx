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52511"/>
</workbook>
</file>

<file path=xl/calcChain.xml><?xml version="1.0" encoding="utf-8"?>
<calcChain xmlns="http://schemas.openxmlformats.org/spreadsheetml/2006/main">
  <c r="AI3" i="1" l="1"/>
  <c r="AJ3" i="1" s="1"/>
  <c r="AJ14" i="1" l="1"/>
  <c r="AI19" i="1"/>
  <c r="AJ19" i="1" s="1"/>
  <c r="AI18" i="1"/>
  <c r="AJ18" i="1" s="1"/>
  <c r="AI17" i="1"/>
  <c r="AJ17" i="1" s="1"/>
  <c r="AI16" i="1"/>
  <c r="AJ16" i="1" s="1"/>
  <c r="AI15" i="1"/>
  <c r="AJ15" i="1" s="1"/>
  <c r="AI14" i="1"/>
  <c r="AI13" i="1"/>
  <c r="AJ13" i="1" s="1"/>
  <c r="AI12" i="1"/>
  <c r="AJ12" i="1" s="1"/>
  <c r="AI11" i="1"/>
  <c r="AJ11" i="1" s="1"/>
  <c r="AI10" i="1"/>
  <c r="AJ10" i="1" s="1"/>
  <c r="AI9" i="1"/>
  <c r="AJ9" i="1" s="1"/>
  <c r="AI8" i="1"/>
  <c r="AJ8" i="1" s="1"/>
  <c r="AI7" i="1"/>
  <c r="AJ7" i="1" s="1"/>
  <c r="AI6" i="1"/>
  <c r="AJ6" i="1" s="1"/>
  <c r="AI5" i="1"/>
  <c r="AJ5" i="1" s="1"/>
  <c r="AI4" i="1"/>
  <c r="AJ4" i="1" s="1"/>
  <c r="AI2" i="1"/>
  <c r="AJ2" i="1" s="1"/>
</calcChain>
</file>

<file path=xl/sharedStrings.xml><?xml version="1.0" encoding="utf-8"?>
<sst xmlns="http://schemas.openxmlformats.org/spreadsheetml/2006/main" count="10" uniqueCount="10">
  <si>
    <t>№</t>
  </si>
  <si>
    <t>Ф.И.О.</t>
  </si>
  <si>
    <t xml:space="preserve">Артомонов Данил Андреевич </t>
  </si>
  <si>
    <t>Денисенко Андрей Самуилович</t>
  </si>
  <si>
    <t>Лёвин Павел Александрович</t>
  </si>
  <si>
    <t>Для Обозначения выходных</t>
  </si>
  <si>
    <t>Глебов Андрей Алексеевич</t>
  </si>
  <si>
    <t>Моисеев Алексей Юрьевич</t>
  </si>
  <si>
    <t>Осокин Роман Викторович </t>
  </si>
  <si>
    <t>Жуков Иван Владимирович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</si>
</sst>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7">
    <font>
      <sz val="11"/>
      <color theme="1"/>
      <name val="Calibri"/>
      <family val="2"/>
      <scheme val="minor"/>
    </font>
    <font>
      <b/>
      <i/>
      <sz val="10"/>
      <name val="Roboto"/>
      <charset val="204"/>
    </font>
    <font>
      <b/>
      <i/>
      <sz val="10"/>
      <color indexed="8"/>
      <name val="Roboto"/>
      <charset val="204"/>
    </font>
    <font>
      <b/>
      <i/>
      <sz val="10"/>
      <name val="Arial"/>
      <family val="2"/>
      <charset val="204"/>
    </font>
    <font>
      <b/>
      <sz val="11"/>
      <color theme="1"/>
      <name val="Calibri"/>
      <family val="2"/>
      <scheme val="minor"/>
    </font>
    <font>
      <sz val="10"/>
      <name val="Roboto"/>
      <charset val="204"/>
    </font>
    <font>
      <b/>
      <i/>
      <sz val="10"/>
      <color indexed="8"/>
      <name val="Arial Cyr"/>
      <charset val="204"/>
    </font>
    <font>
      <sz val="10"/>
      <color indexed="8"/>
      <name val="Roboto"/>
      <charset val="204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sz val="10"/>
      <color indexed="8"/>
      <name val="Arial"/>
      <family val="2"/>
      <charset val="204"/>
    </font>
    <font>
      <b/>
      <i/>
      <sz val="10"/>
      <color indexed="8"/>
      <name val="Arial"/>
      <family val="2"/>
      <charset val="204"/>
    </font>
    <font>
      <b/>
      <i/>
      <sz val="10"/>
      <color theme="1"/>
      <name val="Arial"/>
      <family val="2"/>
      <charset val="204"/>
    </font>
    <font>
      <b/>
      <i/>
      <sz val="10"/>
      <color indexed="10"/>
      <name val="Arial"/>
      <family val="2"/>
      <charset val="204"/>
    </font>
    <font>
      <b/>
      <sz val="12"/>
      <name val="Roboto"/>
      <charset val="204"/>
    </font>
    <font>
      <sz val="10"/>
      <color rgb="FF000000"/>
      <name val="Roboto"/>
      <charset val="204"/>
    </font>
    <font>
      <sz val="10"/>
      <color rgb="FF000000"/>
      <name val="Segoe U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Fill="1" applyBorder="1"/>
    <xf numFmtId="0" fontId="2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4" fillId="2" borderId="2" xfId="0" applyFont="1" applyFill="1" applyBorder="1"/>
    <xf numFmtId="0" fontId="3" fillId="0" borderId="1" xfId="0" applyFont="1" applyFill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3" fillId="0" borderId="2" xfId="0" applyFont="1" applyFill="1" applyBorder="1"/>
    <xf numFmtId="0" fontId="5" fillId="3" borderId="2" xfId="0" applyFont="1" applyFill="1" applyBorder="1"/>
    <xf numFmtId="0" fontId="4" fillId="4" borderId="2" xfId="0" applyFont="1" applyFill="1" applyBorder="1"/>
    <xf numFmtId="0" fontId="4" fillId="0" borderId="2" xfId="0" applyFont="1" applyFill="1" applyBorder="1"/>
    <xf numFmtId="0" fontId="4" fillId="2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0" fillId="2" borderId="2" xfId="0" applyFill="1" applyBorder="1"/>
    <xf numFmtId="0" fontId="5" fillId="5" borderId="2" xfId="0" applyFont="1" applyFill="1" applyBorder="1"/>
    <xf numFmtId="0" fontId="6" fillId="0" borderId="2" xfId="0" applyFont="1" applyFill="1" applyBorder="1" applyAlignment="1">
      <alignment horizontal="center"/>
    </xf>
    <xf numFmtId="0" fontId="0" fillId="0" borderId="2" xfId="0" applyBorder="1"/>
    <xf numFmtId="0" fontId="3" fillId="2" borderId="2" xfId="0" applyFont="1" applyFill="1" applyBorder="1"/>
    <xf numFmtId="0" fontId="7" fillId="2" borderId="2" xfId="0" applyFont="1" applyFill="1" applyBorder="1" applyAlignment="1">
      <alignment horizontal="left"/>
    </xf>
    <xf numFmtId="0" fontId="5" fillId="2" borderId="2" xfId="0" applyFont="1" applyFill="1" applyBorder="1"/>
    <xf numFmtId="164" fontId="5" fillId="2" borderId="2" xfId="0" applyNumberFormat="1" applyFont="1" applyFill="1" applyBorder="1" applyAlignment="1">
      <alignment horizontal="center"/>
    </xf>
    <xf numFmtId="0" fontId="7" fillId="2" borderId="2" xfId="0" applyFont="1" applyFill="1" applyBorder="1"/>
    <xf numFmtId="0" fontId="7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0" fontId="9" fillId="2" borderId="2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/>
    <xf numFmtId="0" fontId="10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2" fillId="2" borderId="2" xfId="0" applyFont="1" applyFill="1" applyBorder="1"/>
    <xf numFmtId="0" fontId="5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/>
    <xf numFmtId="0" fontId="13" fillId="2" borderId="2" xfId="0" applyFont="1" applyFill="1" applyBorder="1"/>
    <xf numFmtId="0" fontId="14" fillId="2" borderId="2" xfId="0" applyFont="1" applyFill="1" applyBorder="1"/>
    <xf numFmtId="0" fontId="0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left"/>
    </xf>
    <xf numFmtId="0" fontId="7" fillId="0" borderId="2" xfId="0" applyFont="1" applyFill="1" applyBorder="1" applyAlignment="1">
      <alignment horizontal="left"/>
    </xf>
    <xf numFmtId="0" fontId="15" fillId="5" borderId="2" xfId="0" applyFont="1" applyFill="1" applyBorder="1"/>
    <xf numFmtId="0" fontId="16" fillId="5" borderId="0" xfId="0" applyFont="1" applyFill="1"/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/>
    </xf>
    <xf numFmtId="0" fontId="16" fillId="6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9"/>
  <sheetViews>
    <sheetView tabSelected="1" workbookViewId="0">
      <selection activeCell="Y13" sqref="Y13"/>
    </sheetView>
  </sheetViews>
  <sheetFormatPr defaultRowHeight="15"/>
  <cols>
    <col min="2" max="2" width="36.140625" customWidth="1"/>
    <col min="3" max="3" width="5.42578125" customWidth="1"/>
    <col min="4" max="4" width="5.5703125" customWidth="1"/>
    <col min="5" max="5" width="4.5703125" customWidth="1"/>
    <col min="6" max="6" width="4.42578125" customWidth="1"/>
    <col min="7" max="7" width="4.85546875" customWidth="1"/>
    <col min="8" max="8" width="5.28515625" customWidth="1"/>
    <col min="9" max="9" width="4.5703125" customWidth="1"/>
    <col min="10" max="12" width="4.7109375" customWidth="1"/>
    <col min="13" max="13" width="4.5703125" customWidth="1"/>
    <col min="14" max="14" width="4.42578125" customWidth="1"/>
    <col min="15" max="15" width="5" customWidth="1"/>
    <col min="16" max="16" width="4.42578125" customWidth="1"/>
    <col min="17" max="18" width="4.7109375" customWidth="1"/>
    <col min="19" max="19" width="4.42578125" customWidth="1"/>
    <col min="20" max="20" width="4.7109375" customWidth="1"/>
    <col min="21" max="22" width="4.5703125" customWidth="1"/>
    <col min="23" max="25" width="4.85546875" customWidth="1"/>
    <col min="26" max="26" width="5.7109375" customWidth="1"/>
    <col min="27" max="27" width="5.5703125" customWidth="1"/>
    <col min="28" max="28" width="4.7109375" customWidth="1"/>
    <col min="29" max="29" width="5" customWidth="1"/>
    <col min="30" max="30" width="5.85546875" customWidth="1"/>
    <col min="31" max="31" width="5.42578125" customWidth="1"/>
    <col min="32" max="32" width="4.85546875" customWidth="1"/>
    <col min="33" max="33" width="5" hidden="1" customWidth="1"/>
    <col min="34" max="34" width="7.5703125" customWidth="1"/>
  </cols>
  <sheetData>
    <row r="1" spans="1:36">
      <c r="A1" s="1" t="s">
        <v>0</v>
      </c>
      <c r="B1" s="2" t="s">
        <v>1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R1" s="3">
        <v>16</v>
      </c>
      <c r="S1" s="3">
        <v>17</v>
      </c>
      <c r="T1" s="3">
        <v>18</v>
      </c>
      <c r="U1" s="3">
        <v>19</v>
      </c>
      <c r="V1" s="3">
        <v>20</v>
      </c>
      <c r="W1" s="3">
        <v>21</v>
      </c>
      <c r="X1" s="3">
        <v>22</v>
      </c>
      <c r="Y1" s="3">
        <v>23</v>
      </c>
      <c r="Z1" s="3">
        <v>24</v>
      </c>
      <c r="AA1" s="3">
        <v>25</v>
      </c>
      <c r="AB1" s="3">
        <v>26</v>
      </c>
      <c r="AC1" s="3">
        <v>27</v>
      </c>
      <c r="AD1" s="3">
        <v>28</v>
      </c>
      <c r="AE1" s="3">
        <v>29</v>
      </c>
      <c r="AF1" s="3">
        <v>30</v>
      </c>
      <c r="AG1" s="11">
        <v>31</v>
      </c>
      <c r="AH1" s="3"/>
      <c r="AI1" s="5"/>
      <c r="AJ1" s="6"/>
    </row>
    <row r="2" spans="1:36">
      <c r="A2" s="7">
        <v>1</v>
      </c>
      <c r="B2" s="8" t="s">
        <v>2</v>
      </c>
      <c r="C2" s="46">
        <v>11</v>
      </c>
      <c r="D2" s="46">
        <v>11</v>
      </c>
      <c r="E2" s="9"/>
      <c r="F2" s="9"/>
      <c r="G2" s="46">
        <v>11</v>
      </c>
      <c r="H2" s="46">
        <v>11</v>
      </c>
      <c r="I2" s="9"/>
      <c r="J2" s="9"/>
      <c r="K2" s="46">
        <v>11</v>
      </c>
      <c r="L2" s="46">
        <v>10</v>
      </c>
      <c r="M2" s="9"/>
      <c r="N2" s="9"/>
      <c r="O2" s="46">
        <v>10</v>
      </c>
      <c r="P2" s="46">
        <v>10</v>
      </c>
      <c r="Q2" s="9"/>
      <c r="R2" s="9"/>
      <c r="S2" s="46">
        <v>10</v>
      </c>
      <c r="T2" s="46">
        <v>10</v>
      </c>
      <c r="U2" s="9"/>
      <c r="V2" s="9"/>
      <c r="W2" s="46">
        <v>10</v>
      </c>
      <c r="X2" s="46">
        <v>10</v>
      </c>
      <c r="Y2" s="9"/>
      <c r="Z2" s="9"/>
      <c r="AA2" s="46">
        <v>10</v>
      </c>
      <c r="AB2" s="46">
        <v>10</v>
      </c>
      <c r="AC2" s="9"/>
      <c r="AD2" s="9"/>
      <c r="AE2" s="46">
        <v>10</v>
      </c>
      <c r="AF2" s="46">
        <v>10</v>
      </c>
      <c r="AG2" s="10"/>
      <c r="AH2" s="11"/>
      <c r="AI2" s="12">
        <f t="shared" ref="AI2:AI17" si="0">SUM(C2:AH2)</f>
        <v>165</v>
      </c>
      <c r="AJ2" s="13">
        <f>AI2*(35000/165)</f>
        <v>35000</v>
      </c>
    </row>
    <row r="3" spans="1:36">
      <c r="A3" s="7">
        <v>2</v>
      </c>
      <c r="B3" s="44" t="s">
        <v>6</v>
      </c>
      <c r="C3" s="9"/>
      <c r="D3" s="9"/>
      <c r="E3" s="10">
        <v>11</v>
      </c>
      <c r="F3" s="46">
        <v>11</v>
      </c>
      <c r="G3" s="9"/>
      <c r="H3" s="9"/>
      <c r="I3" s="46">
        <v>11</v>
      </c>
      <c r="J3" s="46">
        <v>11</v>
      </c>
      <c r="K3" s="9"/>
      <c r="L3" s="9"/>
      <c r="M3" s="46">
        <v>11</v>
      </c>
      <c r="N3" s="46">
        <v>11</v>
      </c>
      <c r="O3" s="9"/>
      <c r="P3" s="9"/>
      <c r="Q3" s="46">
        <v>11</v>
      </c>
      <c r="R3" s="46">
        <v>11</v>
      </c>
      <c r="S3" s="9"/>
      <c r="T3" s="9"/>
      <c r="U3" s="46">
        <v>11</v>
      </c>
      <c r="V3" s="46">
        <v>11</v>
      </c>
      <c r="W3" s="9"/>
      <c r="X3" s="9"/>
      <c r="Y3" s="46">
        <v>11</v>
      </c>
      <c r="Z3" s="46">
        <v>11</v>
      </c>
      <c r="AA3" s="9"/>
      <c r="AB3" s="9"/>
      <c r="AC3" s="46">
        <v>11</v>
      </c>
      <c r="AD3" s="46">
        <v>11</v>
      </c>
      <c r="AE3" s="9"/>
      <c r="AF3" s="9"/>
      <c r="AG3" s="46"/>
      <c r="AH3" s="11"/>
      <c r="AI3" s="12">
        <f t="shared" si="0"/>
        <v>154</v>
      </c>
      <c r="AJ3" s="13">
        <f>AI3*(25000/165)</f>
        <v>23333.333333333332</v>
      </c>
    </row>
    <row r="4" spans="1:36">
      <c r="A4" s="7">
        <v>3</v>
      </c>
      <c r="B4" s="8" t="s">
        <v>3</v>
      </c>
      <c r="C4" s="46">
        <v>11</v>
      </c>
      <c r="D4" s="46">
        <v>11</v>
      </c>
      <c r="E4" s="9"/>
      <c r="F4" s="9"/>
      <c r="G4" s="46">
        <v>11</v>
      </c>
      <c r="H4" s="46">
        <v>11</v>
      </c>
      <c r="I4" s="9"/>
      <c r="J4" s="9"/>
      <c r="K4" s="46">
        <v>11</v>
      </c>
      <c r="L4" s="46">
        <v>10</v>
      </c>
      <c r="M4" s="9"/>
      <c r="N4" s="9"/>
      <c r="O4" s="46">
        <v>10</v>
      </c>
      <c r="P4" s="46">
        <v>10</v>
      </c>
      <c r="Q4" s="9"/>
      <c r="R4" s="9"/>
      <c r="S4" s="46">
        <v>10</v>
      </c>
      <c r="T4" s="46">
        <v>10</v>
      </c>
      <c r="U4" s="9"/>
      <c r="V4" s="9"/>
      <c r="W4" s="46">
        <v>10</v>
      </c>
      <c r="X4" s="46">
        <v>10</v>
      </c>
      <c r="Y4" s="9"/>
      <c r="Z4" s="9"/>
      <c r="AA4" s="46">
        <v>10</v>
      </c>
      <c r="AB4" s="46">
        <v>10</v>
      </c>
      <c r="AC4" s="9"/>
      <c r="AD4" s="9"/>
      <c r="AE4" s="46">
        <v>10</v>
      </c>
      <c r="AF4" s="46">
        <v>10</v>
      </c>
      <c r="AG4" s="10"/>
      <c r="AH4" s="4"/>
      <c r="AI4" s="12">
        <f t="shared" si="0"/>
        <v>165</v>
      </c>
      <c r="AJ4" s="13">
        <f t="shared" ref="AJ4" si="1">AI4*(35000/165)</f>
        <v>35000</v>
      </c>
    </row>
    <row r="5" spans="1:36">
      <c r="A5" s="7">
        <v>4</v>
      </c>
      <c r="B5" s="42" t="s">
        <v>4</v>
      </c>
      <c r="C5" s="9"/>
      <c r="D5" s="9"/>
      <c r="E5" s="10">
        <v>9</v>
      </c>
      <c r="F5" s="46">
        <v>8</v>
      </c>
      <c r="G5" s="46">
        <v>8</v>
      </c>
      <c r="H5" s="46">
        <v>8</v>
      </c>
      <c r="I5" s="9"/>
      <c r="J5" s="9"/>
      <c r="K5" s="10">
        <v>9</v>
      </c>
      <c r="L5" s="46">
        <v>8</v>
      </c>
      <c r="M5" s="46">
        <v>8</v>
      </c>
      <c r="N5" s="46">
        <v>8</v>
      </c>
      <c r="O5" s="9"/>
      <c r="P5" s="9"/>
      <c r="Q5" s="10">
        <v>9</v>
      </c>
      <c r="R5" s="46">
        <v>8</v>
      </c>
      <c r="S5" s="46">
        <v>8</v>
      </c>
      <c r="T5" s="46">
        <v>8</v>
      </c>
      <c r="U5" s="9"/>
      <c r="V5" s="9"/>
      <c r="W5" s="10">
        <v>9</v>
      </c>
      <c r="X5" s="46">
        <v>8</v>
      </c>
      <c r="Y5" s="46">
        <v>8</v>
      </c>
      <c r="Z5" s="46">
        <v>8</v>
      </c>
      <c r="AA5" s="9"/>
      <c r="AB5" s="9"/>
      <c r="AC5" s="10">
        <v>9</v>
      </c>
      <c r="AD5" s="46">
        <v>8</v>
      </c>
      <c r="AE5" s="46">
        <v>8</v>
      </c>
      <c r="AF5" s="46">
        <v>8</v>
      </c>
      <c r="AG5" s="47"/>
      <c r="AH5" s="4"/>
      <c r="AI5" s="12">
        <f t="shared" si="0"/>
        <v>165</v>
      </c>
      <c r="AJ5" s="13">
        <f>AI5*(35000/165)</f>
        <v>35000</v>
      </c>
    </row>
    <row r="6" spans="1:36">
      <c r="A6" s="7">
        <v>5</v>
      </c>
      <c r="B6" s="14" t="s">
        <v>7</v>
      </c>
      <c r="C6" s="46">
        <v>11</v>
      </c>
      <c r="D6" s="46">
        <v>11</v>
      </c>
      <c r="E6" s="9"/>
      <c r="F6" s="9"/>
      <c r="G6" s="46">
        <v>11</v>
      </c>
      <c r="H6" s="46">
        <v>11</v>
      </c>
      <c r="I6" s="9"/>
      <c r="J6" s="9"/>
      <c r="K6" s="46">
        <v>11</v>
      </c>
      <c r="L6" s="46">
        <v>10</v>
      </c>
      <c r="M6" s="9"/>
      <c r="N6" s="9"/>
      <c r="O6" s="46">
        <v>10</v>
      </c>
      <c r="P6" s="46">
        <v>10</v>
      </c>
      <c r="Q6" s="9"/>
      <c r="R6" s="9"/>
      <c r="S6" s="46">
        <v>10</v>
      </c>
      <c r="T6" s="46">
        <v>10</v>
      </c>
      <c r="U6" s="9"/>
      <c r="V6" s="9"/>
      <c r="W6" s="46">
        <v>10</v>
      </c>
      <c r="X6" s="46">
        <v>10</v>
      </c>
      <c r="Y6" s="9"/>
      <c r="Z6" s="9"/>
      <c r="AA6" s="46">
        <v>10</v>
      </c>
      <c r="AB6" s="46">
        <v>10</v>
      </c>
      <c r="AC6" s="9"/>
      <c r="AD6" s="9"/>
      <c r="AE6" s="46">
        <v>10</v>
      </c>
      <c r="AF6" s="46">
        <v>10</v>
      </c>
      <c r="AG6" s="47"/>
      <c r="AH6" s="11"/>
      <c r="AI6" s="12">
        <f t="shared" si="0"/>
        <v>165</v>
      </c>
      <c r="AJ6" s="13">
        <f>AI6*(25000/165)</f>
        <v>24999.999999999996</v>
      </c>
    </row>
    <row r="7" spans="1:36">
      <c r="A7" s="7">
        <v>6</v>
      </c>
      <c r="B7" s="45" t="s">
        <v>8</v>
      </c>
      <c r="C7" s="9"/>
      <c r="D7" s="9"/>
      <c r="E7" s="10">
        <v>11</v>
      </c>
      <c r="F7" s="46">
        <v>11</v>
      </c>
      <c r="G7" s="9"/>
      <c r="H7" s="9"/>
      <c r="I7" s="46">
        <v>11</v>
      </c>
      <c r="J7" s="46">
        <v>11</v>
      </c>
      <c r="K7" s="9"/>
      <c r="L7" s="9"/>
      <c r="M7" s="46">
        <v>11</v>
      </c>
      <c r="N7" s="46">
        <v>11</v>
      </c>
      <c r="O7" s="9"/>
      <c r="P7" s="9"/>
      <c r="Q7" s="46">
        <v>11</v>
      </c>
      <c r="R7" s="46">
        <v>11</v>
      </c>
      <c r="S7" s="9"/>
      <c r="T7" s="9"/>
      <c r="U7" s="46">
        <v>11</v>
      </c>
      <c r="V7" s="46">
        <v>11</v>
      </c>
      <c r="W7" s="9"/>
      <c r="X7" s="9"/>
      <c r="Y7" s="46">
        <v>11</v>
      </c>
      <c r="Z7" s="46">
        <v>11</v>
      </c>
      <c r="AA7" s="9"/>
      <c r="AB7" s="9"/>
      <c r="AC7" s="46">
        <v>11</v>
      </c>
      <c r="AD7" s="46">
        <v>11</v>
      </c>
      <c r="AE7" s="9"/>
      <c r="AF7" s="9"/>
      <c r="AG7" s="46"/>
      <c r="AH7" s="10"/>
      <c r="AI7" s="15">
        <f t="shared" si="0"/>
        <v>154</v>
      </c>
      <c r="AJ7" s="13">
        <f>AI7*(25000/165)</f>
        <v>23333.333333333332</v>
      </c>
    </row>
    <row r="8" spans="1:36">
      <c r="A8" s="7">
        <v>7</v>
      </c>
      <c r="B8" s="48" t="s">
        <v>9</v>
      </c>
      <c r="C8" s="9"/>
      <c r="D8" s="9"/>
      <c r="E8" s="10">
        <v>11</v>
      </c>
      <c r="F8" s="46">
        <v>11</v>
      </c>
      <c r="G8" s="9"/>
      <c r="H8" s="9"/>
      <c r="I8" s="46">
        <v>11</v>
      </c>
      <c r="J8" s="46">
        <v>11</v>
      </c>
      <c r="K8" s="9"/>
      <c r="L8" s="9"/>
      <c r="M8" s="46">
        <v>11</v>
      </c>
      <c r="N8" s="46">
        <v>11</v>
      </c>
      <c r="O8" s="9"/>
      <c r="P8" s="9"/>
      <c r="Q8" s="46">
        <v>11</v>
      </c>
      <c r="R8" s="46">
        <v>11</v>
      </c>
      <c r="S8" s="9"/>
      <c r="T8" s="9"/>
      <c r="U8" s="46">
        <v>11</v>
      </c>
      <c r="V8" s="46">
        <v>11</v>
      </c>
      <c r="W8" s="9"/>
      <c r="X8" s="9"/>
      <c r="Y8" s="46">
        <v>11</v>
      </c>
      <c r="Z8" s="46">
        <v>11</v>
      </c>
      <c r="AA8" s="9"/>
      <c r="AB8" s="9"/>
      <c r="AC8" s="46">
        <v>11</v>
      </c>
      <c r="AD8" s="46">
        <v>11</v>
      </c>
      <c r="AE8" s="9"/>
      <c r="AF8" s="9"/>
      <c r="AG8" s="10"/>
      <c r="AH8" s="4"/>
      <c r="AI8" s="15">
        <f t="shared" si="0"/>
        <v>154</v>
      </c>
      <c r="AJ8" s="13">
        <f>AI8*(25000/165)</f>
        <v>23333.333333333332</v>
      </c>
    </row>
    <row r="9" spans="1:36">
      <c r="A9" s="17">
        <v>8</v>
      </c>
      <c r="B9" s="43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4"/>
      <c r="AG9" s="4"/>
      <c r="AH9" s="4"/>
      <c r="AI9" s="12">
        <f t="shared" si="0"/>
        <v>0</v>
      </c>
      <c r="AJ9" s="13">
        <f>AI9*(35000/165)</f>
        <v>0</v>
      </c>
    </row>
    <row r="10" spans="1:36">
      <c r="A10" s="17">
        <v>9</v>
      </c>
      <c r="B10" s="19"/>
      <c r="C10" s="20"/>
      <c r="D10" s="20"/>
      <c r="E10" s="20"/>
      <c r="F10" s="20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12">
        <f t="shared" si="0"/>
        <v>0</v>
      </c>
      <c r="AJ10" s="13">
        <f>AI10*(35000/165)</f>
        <v>0</v>
      </c>
    </row>
    <row r="11" spans="1:36">
      <c r="A11" s="17">
        <v>10</v>
      </c>
      <c r="B11" s="19"/>
      <c r="C11" s="4"/>
      <c r="D11" s="4"/>
      <c r="E11" s="20"/>
      <c r="F11" s="20"/>
      <c r="G11" s="20"/>
      <c r="H11" s="20"/>
      <c r="I11" s="20"/>
      <c r="J11" s="20"/>
      <c r="K11" s="20"/>
      <c r="L11" s="11"/>
      <c r="M11" s="11"/>
      <c r="N11" s="11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12">
        <f t="shared" si="0"/>
        <v>0</v>
      </c>
      <c r="AJ11" s="13">
        <f>AI11*(35000/165)</f>
        <v>0</v>
      </c>
    </row>
    <row r="12" spans="1:36">
      <c r="A12" s="17">
        <v>11</v>
      </c>
      <c r="B12" s="19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12">
        <f t="shared" si="0"/>
        <v>0</v>
      </c>
      <c r="AJ12" s="13">
        <f>AI12*(25000/165)</f>
        <v>0</v>
      </c>
    </row>
    <row r="13" spans="1:36">
      <c r="A13" s="17">
        <v>24</v>
      </c>
      <c r="B13" s="19"/>
      <c r="C13" s="4"/>
      <c r="D13" s="4"/>
      <c r="E13" s="11"/>
      <c r="F13" s="11"/>
      <c r="G13" s="4"/>
      <c r="H13" s="4"/>
      <c r="I13" s="4"/>
      <c r="J13" s="11"/>
      <c r="K13" s="4"/>
      <c r="L13" s="4"/>
      <c r="M13" s="11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12">
        <f t="shared" si="0"/>
        <v>0</v>
      </c>
      <c r="AJ13" s="13">
        <f>AI13*(25000/165)</f>
        <v>0</v>
      </c>
    </row>
    <row r="14" spans="1:36">
      <c r="A14" s="7">
        <v>25</v>
      </c>
      <c r="B14" s="18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12">
        <f t="shared" si="0"/>
        <v>0</v>
      </c>
      <c r="AJ14" s="13">
        <f>AI14*(25000/165)</f>
        <v>0</v>
      </c>
    </row>
    <row r="15" spans="1:36">
      <c r="A15" s="7">
        <v>26</v>
      </c>
      <c r="B15" s="21"/>
      <c r="C15" s="22"/>
      <c r="D15" s="23"/>
      <c r="E15" s="22"/>
      <c r="F15" s="24"/>
      <c r="G15" s="23"/>
      <c r="H15" s="25"/>
      <c r="I15" s="26"/>
      <c r="J15" s="22"/>
      <c r="K15" s="24"/>
      <c r="L15" s="26"/>
      <c r="M15" s="26"/>
      <c r="N15" s="27"/>
      <c r="O15" s="25"/>
      <c r="P15" s="28"/>
      <c r="Q15" s="25"/>
      <c r="R15" s="29"/>
      <c r="S15" s="30"/>
      <c r="T15" s="30"/>
      <c r="U15" s="30"/>
      <c r="V15" s="4"/>
      <c r="W15" s="4"/>
      <c r="X15" s="30"/>
      <c r="Y15" s="30"/>
      <c r="Z15" s="30"/>
      <c r="AA15" s="4"/>
      <c r="AB15" s="4"/>
      <c r="AC15" s="30"/>
      <c r="AD15" s="30"/>
      <c r="AE15" s="30"/>
      <c r="AF15" s="30"/>
      <c r="AG15" s="4"/>
      <c r="AH15" s="4"/>
      <c r="AI15" s="15">
        <f t="shared" si="0"/>
        <v>0</v>
      </c>
      <c r="AJ15" s="16">
        <f t="shared" ref="AJ15:AJ19" si="2">AI15*(25000/165)</f>
        <v>0</v>
      </c>
    </row>
    <row r="16" spans="1:36">
      <c r="A16" s="7">
        <v>27</v>
      </c>
      <c r="B16" s="31"/>
      <c r="C16" s="27"/>
      <c r="D16" s="22"/>
      <c r="E16" s="26"/>
      <c r="F16" s="26"/>
      <c r="G16" s="23"/>
      <c r="H16" s="23"/>
      <c r="I16" s="26"/>
      <c r="J16" s="23"/>
      <c r="K16" s="28"/>
      <c r="L16" s="26"/>
      <c r="M16" s="26"/>
      <c r="N16" s="22"/>
      <c r="O16" s="25"/>
      <c r="P16" s="27"/>
      <c r="Q16" s="32"/>
      <c r="R16" s="29"/>
      <c r="S16" s="32"/>
      <c r="T16" s="32"/>
      <c r="U16" s="33"/>
      <c r="V16" s="34"/>
      <c r="W16" s="27"/>
      <c r="X16" s="22"/>
      <c r="Y16" s="26"/>
      <c r="Z16" s="26"/>
      <c r="AA16" s="23"/>
      <c r="AB16" s="23"/>
      <c r="AC16" s="26"/>
      <c r="AD16" s="23"/>
      <c r="AE16" s="28"/>
      <c r="AF16" s="28"/>
      <c r="AG16" s="26"/>
      <c r="AH16" s="29"/>
      <c r="AI16" s="15">
        <f t="shared" si="0"/>
        <v>0</v>
      </c>
      <c r="AJ16" s="16">
        <f t="shared" si="2"/>
        <v>0</v>
      </c>
    </row>
    <row r="17" spans="1:36">
      <c r="A17" s="7">
        <v>28</v>
      </c>
      <c r="B17" s="31"/>
      <c r="C17" s="25"/>
      <c r="D17" s="25"/>
      <c r="E17" s="25"/>
      <c r="F17" s="25"/>
      <c r="G17" s="25"/>
      <c r="H17" s="35"/>
      <c r="I17" s="35"/>
      <c r="J17" s="36"/>
      <c r="K17" s="35"/>
      <c r="L17" s="25"/>
      <c r="M17" s="25"/>
      <c r="N17" s="23"/>
      <c r="O17" s="23"/>
      <c r="P17" s="23"/>
      <c r="Q17" s="25"/>
      <c r="R17" s="25"/>
      <c r="S17" s="25"/>
      <c r="T17" s="29"/>
      <c r="U17" s="33"/>
      <c r="V17" s="37"/>
      <c r="W17" s="25"/>
      <c r="X17" s="25"/>
      <c r="Y17" s="25"/>
      <c r="Z17" s="25"/>
      <c r="AA17" s="25"/>
      <c r="AB17" s="35"/>
      <c r="AC17" s="35"/>
      <c r="AD17" s="36"/>
      <c r="AE17" s="35"/>
      <c r="AF17" s="35"/>
      <c r="AG17" s="25"/>
      <c r="AH17" s="25"/>
      <c r="AI17" s="15">
        <f t="shared" si="0"/>
        <v>0</v>
      </c>
      <c r="AJ17" s="16">
        <f t="shared" si="2"/>
        <v>0</v>
      </c>
    </row>
    <row r="18" spans="1:36" ht="15.75">
      <c r="A18" s="7">
        <v>29</v>
      </c>
      <c r="B18" s="38" t="s">
        <v>5</v>
      </c>
      <c r="C18" s="9"/>
      <c r="D18" s="9"/>
      <c r="E18" s="23"/>
      <c r="F18" s="26"/>
      <c r="G18" s="22"/>
      <c r="H18" s="39"/>
      <c r="I18" s="22"/>
      <c r="J18" s="35"/>
      <c r="K18" s="29"/>
      <c r="L18" s="26"/>
      <c r="M18" s="25"/>
      <c r="N18" s="25"/>
      <c r="O18" s="25"/>
      <c r="P18" s="25"/>
      <c r="Q18" s="25"/>
      <c r="R18" s="25"/>
      <c r="S18" s="25"/>
      <c r="T18" s="29"/>
      <c r="U18" s="33"/>
      <c r="V18" s="37"/>
      <c r="W18" s="26"/>
      <c r="X18" s="23"/>
      <c r="Y18" s="23"/>
      <c r="Z18" s="26"/>
      <c r="AA18" s="22"/>
      <c r="AB18" s="39"/>
      <c r="AC18" s="22"/>
      <c r="AD18" s="35"/>
      <c r="AE18" s="29"/>
      <c r="AF18" s="29"/>
      <c r="AG18" s="26"/>
      <c r="AH18" s="25"/>
      <c r="AI18" s="15">
        <f t="shared" ref="AI18:AI19" si="3">SUM(S18:AH18)</f>
        <v>0</v>
      </c>
      <c r="AJ18" s="16">
        <f t="shared" si="2"/>
        <v>0</v>
      </c>
    </row>
    <row r="19" spans="1:36">
      <c r="A19" s="7">
        <v>30</v>
      </c>
      <c r="B19" s="31"/>
      <c r="C19" s="26"/>
      <c r="D19" s="23"/>
      <c r="E19" s="23"/>
      <c r="F19" s="23"/>
      <c r="G19" s="23"/>
      <c r="H19" s="23"/>
      <c r="I19" s="26"/>
      <c r="J19" s="26"/>
      <c r="K19" s="28"/>
      <c r="L19" s="22"/>
      <c r="M19" s="25"/>
      <c r="N19" s="25"/>
      <c r="O19" s="25"/>
      <c r="P19" s="25"/>
      <c r="Q19" s="25"/>
      <c r="R19" s="25"/>
      <c r="S19" s="25"/>
      <c r="T19" s="25"/>
      <c r="U19" s="40"/>
      <c r="V19" s="41"/>
      <c r="W19" s="26"/>
      <c r="X19" s="23"/>
      <c r="Y19" s="23"/>
      <c r="Z19" s="23"/>
      <c r="AA19" s="23"/>
      <c r="AB19" s="23"/>
      <c r="AC19" s="26"/>
      <c r="AD19" s="26"/>
      <c r="AE19" s="28"/>
      <c r="AF19" s="28"/>
      <c r="AG19" s="22"/>
      <c r="AH19" s="25"/>
      <c r="AI19" s="15">
        <f t="shared" si="3"/>
        <v>0</v>
      </c>
      <c r="AJ19" s="16">
        <f t="shared" si="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2026-05-26T11:04:01Z</dcterms:modified>
</cp:coreProperties>
</file>